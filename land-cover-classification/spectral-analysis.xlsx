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ichał Kuśnierz\Desktop\PTiF\Zajęcia Projektowe\1) Tomasz Pirowski\Lab2\"/>
    </mc:Choice>
  </mc:AlternateContent>
  <bookViews>
    <workbookView xWindow="-105" yWindow="-105" windowWidth="25815" windowHeight="15495" activeTab="2"/>
  </bookViews>
  <sheets>
    <sheet name="Z_1" sheetId="1" r:id="rId1"/>
    <sheet name="Z_3-5_Dane" sheetId="2" r:id="rId2"/>
    <sheet name="Z_3-5_Wyk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6" i="2"/>
  <c r="O7" i="2"/>
  <c r="O8" i="2"/>
  <c r="O3" i="2"/>
  <c r="I4" i="2"/>
  <c r="I5" i="2"/>
  <c r="I6" i="2"/>
  <c r="I7" i="2"/>
  <c r="I8" i="2"/>
  <c r="I3" i="2"/>
  <c r="C9" i="1"/>
  <c r="D9" i="1"/>
  <c r="E9" i="1"/>
  <c r="F9" i="1"/>
  <c r="G9" i="1"/>
  <c r="H9" i="1"/>
  <c r="I9" i="1"/>
  <c r="B9" i="1"/>
  <c r="B10" i="1" l="1"/>
  <c r="H10" i="1"/>
  <c r="F10" i="1"/>
  <c r="D10" i="1"/>
</calcChain>
</file>

<file path=xl/sharedStrings.xml><?xml version="1.0" encoding="utf-8"?>
<sst xmlns="http://schemas.openxmlformats.org/spreadsheetml/2006/main" count="67" uniqueCount="44">
  <si>
    <t>Kanały w kolejności RGB</t>
  </si>
  <si>
    <t>4-3-2</t>
  </si>
  <si>
    <t>8-4-3</t>
  </si>
  <si>
    <t>8-11-4</t>
  </si>
  <si>
    <t>12-8-3</t>
  </si>
  <si>
    <t>FCC 'd'</t>
  </si>
  <si>
    <t>FCC 'c'</t>
  </si>
  <si>
    <t>FCC CIR</t>
  </si>
  <si>
    <t>CC TC</t>
  </si>
  <si>
    <t>Kategoria pokrycia terenu</t>
  </si>
  <si>
    <t>Wody</t>
  </si>
  <si>
    <t>Zabudowa i infrastruktura</t>
  </si>
  <si>
    <t>Lasy</t>
  </si>
  <si>
    <t>Rola (uprawy, gleby)</t>
  </si>
  <si>
    <t>Suma cząstkowa I/II</t>
  </si>
  <si>
    <t>Suma I+II</t>
  </si>
  <si>
    <t>Ranking (miejsce)</t>
  </si>
  <si>
    <t>I       0-2  pkt</t>
  </si>
  <si>
    <t>II       0-1 pkt</t>
  </si>
  <si>
    <t>I       0-2 pkt</t>
  </si>
  <si>
    <t>I - różne od innych elementów mapy</t>
  </si>
  <si>
    <t>II - różne od tych samych elementów mapy</t>
  </si>
  <si>
    <t>1.</t>
  </si>
  <si>
    <t>2.</t>
  </si>
  <si>
    <t>3.</t>
  </si>
  <si>
    <t>4.</t>
  </si>
  <si>
    <t>Łąki, pastwiska, nieużytki</t>
  </si>
  <si>
    <t>woda</t>
  </si>
  <si>
    <t>las</t>
  </si>
  <si>
    <t>B02</t>
  </si>
  <si>
    <t>B03</t>
  </si>
  <si>
    <t>B04</t>
  </si>
  <si>
    <t>B08</t>
  </si>
  <si>
    <t>B11</t>
  </si>
  <si>
    <t>B12</t>
  </si>
  <si>
    <t>FCC CIR 8-4-3</t>
  </si>
  <si>
    <t>śr</t>
  </si>
  <si>
    <t>śr.</t>
  </si>
  <si>
    <t>łąka</t>
  </si>
  <si>
    <t>gleby odkryte</t>
  </si>
  <si>
    <t>zab. i inf.</t>
  </si>
  <si>
    <t>uprawy 1</t>
  </si>
  <si>
    <t>uprawy 2</t>
  </si>
  <si>
    <t>gleby odkr.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</si>
</sst>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FD9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0BF8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2" borderId="7" xfId="0" applyFill="1" applyBorder="1"/>
    <xf numFmtId="0" fontId="0" fillId="2" borderId="8" xfId="0" applyFill="1" applyBorder="1" applyAlignment="1">
      <alignment vertical="center"/>
    </xf>
    <xf numFmtId="0" fontId="0" fillId="2" borderId="8" xfId="0" applyFill="1" applyBorder="1"/>
    <xf numFmtId="0" fontId="0" fillId="2" borderId="9" xfId="0" applyFill="1" applyBorder="1"/>
    <xf numFmtId="0" fontId="0" fillId="12" borderId="0" xfId="0" applyFill="1"/>
    <xf numFmtId="1" fontId="0" fillId="12" borderId="0" xfId="0" applyNumberFormat="1" applyFill="1"/>
    <xf numFmtId="49" fontId="0" fillId="3" borderId="0" xfId="0" applyNumberFormat="1" applyFill="1"/>
    <xf numFmtId="0" fontId="0" fillId="3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49" fontId="0" fillId="6" borderId="4" xfId="0" applyNumberFormat="1" applyFill="1" applyBorder="1" applyAlignment="1">
      <alignment horizontal="center"/>
    </xf>
    <xf numFmtId="49" fontId="0" fillId="5" borderId="3" xfId="0" applyNumberFormat="1" applyFill="1" applyBorder="1" applyAlignment="1">
      <alignment horizontal="center"/>
    </xf>
    <xf numFmtId="49" fontId="0" fillId="5" borderId="4" xfId="0" applyNumberForma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10" xfId="0" applyBorder="1"/>
    <xf numFmtId="0" fontId="0" fillId="10" borderId="10" xfId="0" applyFill="1" applyBorder="1" applyAlignment="1"/>
    <xf numFmtId="0" fontId="0" fillId="11" borderId="10" xfId="0" applyFill="1" applyBorder="1" applyAlignment="1"/>
    <xf numFmtId="0" fontId="0" fillId="13" borderId="10" xfId="0" applyFill="1" applyBorder="1"/>
    <xf numFmtId="0" fontId="0" fillId="14" borderId="10" xfId="0" applyFill="1" applyBorder="1"/>
    <xf numFmtId="0" fontId="0" fillId="15" borderId="10" xfId="0" applyFill="1" applyBorder="1"/>
    <xf numFmtId="0" fontId="0" fillId="16" borderId="2" xfId="0" applyFill="1" applyBorder="1"/>
    <xf numFmtId="0" fontId="0" fillId="3" borderId="3" xfId="0" applyFill="1" applyBorder="1" applyAlignment="1">
      <alignment horizontal="center" vertical="center"/>
    </xf>
    <xf numFmtId="49" fontId="0" fillId="3" borderId="0" xfId="0" applyNumberFormat="1" applyFill="1" applyBorder="1"/>
    <xf numFmtId="1" fontId="0" fillId="12" borderId="0" xfId="0" applyNumberFormat="1" applyFill="1" applyBorder="1"/>
    <xf numFmtId="0" fontId="0" fillId="0" borderId="0" xfId="0" applyBorder="1"/>
    <xf numFmtId="0" fontId="0" fillId="3" borderId="0" xfId="0" applyFill="1" applyBorder="1"/>
    <xf numFmtId="0" fontId="0" fillId="3" borderId="5" xfId="0" applyFill="1" applyBorder="1" applyAlignment="1">
      <alignment horizontal="center" vertical="center"/>
    </xf>
    <xf numFmtId="0" fontId="0" fillId="3" borderId="11" xfId="0" applyFill="1" applyBorder="1"/>
    <xf numFmtId="1" fontId="0" fillId="12" borderId="11" xfId="0" applyNumberFormat="1" applyFill="1" applyBorder="1"/>
    <xf numFmtId="0" fontId="0" fillId="0" borderId="11" xfId="0" applyBorder="1"/>
    <xf numFmtId="0" fontId="0" fillId="0" borderId="6" xfId="0" applyBorder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0BF84"/>
      <color rgb="FFFDFD9D"/>
      <color rgb="FFDECC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Krzywe spektralne podstawowych kategorii pokrycia terenu dla kompozycji CIR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'Z_3-5_Wykres'!$C$1</c:f>
              <c:strCache>
                <c:ptCount val="1"/>
                <c:pt idx="0">
                  <c:v>woda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'Z_3-5_Wykres'!$B$2:$B$7</c:f>
              <c:strCache>
                <c:ptCount val="6"/>
                <c:pt idx="0">
                  <c:v>B02</c:v>
                </c:pt>
                <c:pt idx="1">
                  <c:v>B03</c:v>
                </c:pt>
                <c:pt idx="2">
                  <c:v>B04</c:v>
                </c:pt>
                <c:pt idx="3">
                  <c:v>B08</c:v>
                </c:pt>
                <c:pt idx="4">
                  <c:v>B11</c:v>
                </c:pt>
                <c:pt idx="5">
                  <c:v>B12</c:v>
                </c:pt>
              </c:strCache>
            </c:strRef>
          </c:cat>
          <c:val>
            <c:numRef>
              <c:f>'Z_3-5_Wykres'!$C$2:$C$7</c:f>
              <c:numCache>
                <c:formatCode>0</c:formatCode>
                <c:ptCount val="6"/>
                <c:pt idx="0">
                  <c:v>1163.4000000000001</c:v>
                </c:pt>
                <c:pt idx="1">
                  <c:v>1228.4000000000001</c:v>
                </c:pt>
                <c:pt idx="2">
                  <c:v>1127</c:v>
                </c:pt>
                <c:pt idx="3">
                  <c:v>1135</c:v>
                </c:pt>
                <c:pt idx="4">
                  <c:v>1119.2</c:v>
                </c:pt>
                <c:pt idx="5">
                  <c:v>1065.8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50-4406-AC48-D2B7A369A168}"/>
            </c:ext>
          </c:extLst>
        </c:ser>
        <c:ser>
          <c:idx val="1"/>
          <c:order val="1"/>
          <c:tx>
            <c:strRef>
              <c:f>'Z_3-5_Wykres'!$D$1</c:f>
              <c:strCache>
                <c:ptCount val="1"/>
                <c:pt idx="0">
                  <c:v>las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'Z_3-5_Wykres'!$B$2:$B$7</c:f>
              <c:strCache>
                <c:ptCount val="6"/>
                <c:pt idx="0">
                  <c:v>B02</c:v>
                </c:pt>
                <c:pt idx="1">
                  <c:v>B03</c:v>
                </c:pt>
                <c:pt idx="2">
                  <c:v>B04</c:v>
                </c:pt>
                <c:pt idx="3">
                  <c:v>B08</c:v>
                </c:pt>
                <c:pt idx="4">
                  <c:v>B11</c:v>
                </c:pt>
                <c:pt idx="5">
                  <c:v>B12</c:v>
                </c:pt>
              </c:strCache>
            </c:strRef>
          </c:cat>
          <c:val>
            <c:numRef>
              <c:f>'Z_3-5_Wykres'!$D$2:$D$7</c:f>
              <c:numCache>
                <c:formatCode>0</c:formatCode>
                <c:ptCount val="6"/>
                <c:pt idx="0">
                  <c:v>1164.5999999999999</c:v>
                </c:pt>
                <c:pt idx="1">
                  <c:v>1332.8</c:v>
                </c:pt>
                <c:pt idx="2">
                  <c:v>1178.5999999999999</c:v>
                </c:pt>
                <c:pt idx="3">
                  <c:v>3937.2</c:v>
                </c:pt>
                <c:pt idx="4">
                  <c:v>2357.8000000000002</c:v>
                </c:pt>
                <c:pt idx="5">
                  <c:v>1600.6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50-4406-AC48-D2B7A369A168}"/>
            </c:ext>
          </c:extLst>
        </c:ser>
        <c:ser>
          <c:idx val="2"/>
          <c:order val="2"/>
          <c:tx>
            <c:strRef>
              <c:f>'Z_3-5_Wykres'!$E$1</c:f>
              <c:strCache>
                <c:ptCount val="1"/>
                <c:pt idx="0">
                  <c:v>łąka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'Z_3-5_Wykres'!$B$2:$B$7</c:f>
              <c:strCache>
                <c:ptCount val="6"/>
                <c:pt idx="0">
                  <c:v>B02</c:v>
                </c:pt>
                <c:pt idx="1">
                  <c:v>B03</c:v>
                </c:pt>
                <c:pt idx="2">
                  <c:v>B04</c:v>
                </c:pt>
                <c:pt idx="3">
                  <c:v>B08</c:v>
                </c:pt>
                <c:pt idx="4">
                  <c:v>B11</c:v>
                </c:pt>
                <c:pt idx="5">
                  <c:v>B12</c:v>
                </c:pt>
              </c:strCache>
            </c:strRef>
          </c:cat>
          <c:val>
            <c:numRef>
              <c:f>'Z_3-5_Wykres'!$E$2:$E$7</c:f>
              <c:numCache>
                <c:formatCode>General</c:formatCode>
                <c:ptCount val="6"/>
                <c:pt idx="0">
                  <c:v>1301</c:v>
                </c:pt>
                <c:pt idx="1">
                  <c:v>1673</c:v>
                </c:pt>
                <c:pt idx="2">
                  <c:v>1335</c:v>
                </c:pt>
                <c:pt idx="3">
                  <c:v>5492</c:v>
                </c:pt>
                <c:pt idx="4">
                  <c:v>3271</c:v>
                </c:pt>
                <c:pt idx="5">
                  <c:v>2046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50-4406-AC48-D2B7A369A168}"/>
            </c:ext>
          </c:extLst>
        </c:ser>
        <c:ser>
          <c:idx val="3"/>
          <c:order val="3"/>
          <c:tx>
            <c:strRef>
              <c:f>'Z_3-5_Wykres'!$F$1</c:f>
              <c:strCache>
                <c:ptCount val="1"/>
                <c:pt idx="0">
                  <c:v>zab. i inf.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'Z_3-5_Wykres'!$B$2:$B$7</c:f>
              <c:strCache>
                <c:ptCount val="6"/>
                <c:pt idx="0">
                  <c:v>B02</c:v>
                </c:pt>
                <c:pt idx="1">
                  <c:v>B03</c:v>
                </c:pt>
                <c:pt idx="2">
                  <c:v>B04</c:v>
                </c:pt>
                <c:pt idx="3">
                  <c:v>B08</c:v>
                </c:pt>
                <c:pt idx="4">
                  <c:v>B11</c:v>
                </c:pt>
                <c:pt idx="5">
                  <c:v>B12</c:v>
                </c:pt>
              </c:strCache>
            </c:strRef>
          </c:cat>
          <c:val>
            <c:numRef>
              <c:f>'Z_3-5_Wykres'!$F$2:$F$7</c:f>
              <c:numCache>
                <c:formatCode>General</c:formatCode>
                <c:ptCount val="6"/>
                <c:pt idx="0">
                  <c:v>1882</c:v>
                </c:pt>
                <c:pt idx="1">
                  <c:v>1850</c:v>
                </c:pt>
                <c:pt idx="2">
                  <c:v>1820</c:v>
                </c:pt>
                <c:pt idx="3">
                  <c:v>2223</c:v>
                </c:pt>
                <c:pt idx="4">
                  <c:v>2234</c:v>
                </c:pt>
                <c:pt idx="5">
                  <c:v>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50-4406-AC48-D2B7A369A168}"/>
            </c:ext>
          </c:extLst>
        </c:ser>
        <c:ser>
          <c:idx val="4"/>
          <c:order val="4"/>
          <c:tx>
            <c:strRef>
              <c:f>'Z_3-5_Wykres'!$G$1</c:f>
              <c:strCache>
                <c:ptCount val="1"/>
                <c:pt idx="0">
                  <c:v>uprawy 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'Z_3-5_Wykres'!$B$2:$B$7</c:f>
              <c:strCache>
                <c:ptCount val="6"/>
                <c:pt idx="0">
                  <c:v>B02</c:v>
                </c:pt>
                <c:pt idx="1">
                  <c:v>B03</c:v>
                </c:pt>
                <c:pt idx="2">
                  <c:v>B04</c:v>
                </c:pt>
                <c:pt idx="3">
                  <c:v>B08</c:v>
                </c:pt>
                <c:pt idx="4">
                  <c:v>B11</c:v>
                </c:pt>
                <c:pt idx="5">
                  <c:v>B12</c:v>
                </c:pt>
              </c:strCache>
            </c:strRef>
          </c:cat>
          <c:val>
            <c:numRef>
              <c:f>'Z_3-5_Wykres'!$G$2:$G$7</c:f>
              <c:numCache>
                <c:formatCode>General</c:formatCode>
                <c:ptCount val="6"/>
                <c:pt idx="0">
                  <c:v>1677</c:v>
                </c:pt>
                <c:pt idx="1">
                  <c:v>1959</c:v>
                </c:pt>
                <c:pt idx="2">
                  <c:v>2274</c:v>
                </c:pt>
                <c:pt idx="3">
                  <c:v>3172</c:v>
                </c:pt>
                <c:pt idx="4">
                  <c:v>4310</c:v>
                </c:pt>
                <c:pt idx="5">
                  <c:v>3457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50-4406-AC48-D2B7A369A168}"/>
            </c:ext>
          </c:extLst>
        </c:ser>
        <c:ser>
          <c:idx val="5"/>
          <c:order val="5"/>
          <c:tx>
            <c:strRef>
              <c:f>'Z_3-5_Wykres'!$H$1</c:f>
              <c:strCache>
                <c:ptCount val="1"/>
                <c:pt idx="0">
                  <c:v>uprawy 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'Z_3-5_Wykres'!$B$2:$B$7</c:f>
              <c:strCache>
                <c:ptCount val="6"/>
                <c:pt idx="0">
                  <c:v>B02</c:v>
                </c:pt>
                <c:pt idx="1">
                  <c:v>B03</c:v>
                </c:pt>
                <c:pt idx="2">
                  <c:v>B04</c:v>
                </c:pt>
                <c:pt idx="3">
                  <c:v>B08</c:v>
                </c:pt>
                <c:pt idx="4">
                  <c:v>B11</c:v>
                </c:pt>
                <c:pt idx="5">
                  <c:v>B12</c:v>
                </c:pt>
              </c:strCache>
            </c:strRef>
          </c:cat>
          <c:val>
            <c:numRef>
              <c:f>'Z_3-5_Wykres'!$H$2:$H$7</c:f>
              <c:numCache>
                <c:formatCode>General</c:formatCode>
                <c:ptCount val="6"/>
                <c:pt idx="0">
                  <c:v>1380</c:v>
                </c:pt>
                <c:pt idx="1">
                  <c:v>1529</c:v>
                </c:pt>
                <c:pt idx="2">
                  <c:v>1620</c:v>
                </c:pt>
                <c:pt idx="3">
                  <c:v>2476</c:v>
                </c:pt>
                <c:pt idx="4">
                  <c:v>3218</c:v>
                </c:pt>
                <c:pt idx="5">
                  <c:v>2712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50-4406-AC48-D2B7A369A168}"/>
            </c:ext>
          </c:extLst>
        </c:ser>
        <c:ser>
          <c:idx val="6"/>
          <c:order val="6"/>
          <c:tx>
            <c:strRef>
              <c:f>'Z_3-5_Wykres'!$I$1</c:f>
              <c:strCache>
                <c:ptCount val="1"/>
                <c:pt idx="0">
                  <c:v>gleby odkr.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'Z_3-5_Wykres'!$B$2:$B$7</c:f>
              <c:strCache>
                <c:ptCount val="6"/>
                <c:pt idx="0">
                  <c:v>B02</c:v>
                </c:pt>
                <c:pt idx="1">
                  <c:v>B03</c:v>
                </c:pt>
                <c:pt idx="2">
                  <c:v>B04</c:v>
                </c:pt>
                <c:pt idx="3">
                  <c:v>B08</c:v>
                </c:pt>
                <c:pt idx="4">
                  <c:v>B11</c:v>
                </c:pt>
                <c:pt idx="5">
                  <c:v>B12</c:v>
                </c:pt>
              </c:strCache>
            </c:strRef>
          </c:cat>
          <c:val>
            <c:numRef>
              <c:f>'Z_3-5_Wykres'!$I$2:$I$7</c:f>
              <c:numCache>
                <c:formatCode>General</c:formatCode>
                <c:ptCount val="6"/>
                <c:pt idx="0">
                  <c:v>1943</c:v>
                </c:pt>
                <c:pt idx="1">
                  <c:v>1946</c:v>
                </c:pt>
                <c:pt idx="2">
                  <c:v>2138</c:v>
                </c:pt>
                <c:pt idx="3">
                  <c:v>2984</c:v>
                </c:pt>
                <c:pt idx="4">
                  <c:v>3202</c:v>
                </c:pt>
                <c:pt idx="5">
                  <c:v>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50-4406-AC48-D2B7A369A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2065407"/>
        <c:axId val="1612066367"/>
      </c:lineChart>
      <c:catAx>
        <c:axId val="161206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Kanał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2066367"/>
        <c:crosses val="autoZero"/>
        <c:auto val="1"/>
        <c:lblAlgn val="ctr"/>
        <c:lblOffset val="100"/>
        <c:noMultiLvlLbl val="0"/>
      </c:catAx>
      <c:valAx>
        <c:axId val="1612066367"/>
        <c:scaling>
          <c:orientation val="minMax"/>
          <c:max val="55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 piksela w kompozycji CIR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206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66146</xdr:colOff>
      <xdr:row>1</xdr:row>
      <xdr:rowOff>6879</xdr:rowOff>
    </xdr:from>
    <xdr:to>
      <xdr:col>21</xdr:col>
      <xdr:colOff>386291</xdr:colOff>
      <xdr:row>25</xdr:row>
      <xdr:rowOff>135466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A5E31E2-7ACC-CD59-E2F4-73BA95233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zoomScale="120" zoomScaleNormal="120" workbookViewId="0">
      <selection activeCell="E25" sqref="E25"/>
    </sheetView>
  </sheetViews>
  <sheetFormatPr defaultRowHeight="14.25"/>
  <cols>
    <col min="1" max="1" width="21.5" bestFit="1" customWidth="1"/>
    <col min="2" max="9" width="4.5" customWidth="1"/>
  </cols>
  <sheetData>
    <row r="1" spans="1:9">
      <c r="A1" s="1"/>
      <c r="B1" s="28" t="s">
        <v>8</v>
      </c>
      <c r="C1" s="29"/>
      <c r="D1" s="30" t="s">
        <v>7</v>
      </c>
      <c r="E1" s="31"/>
      <c r="F1" s="32" t="s">
        <v>6</v>
      </c>
      <c r="G1" s="33"/>
      <c r="H1" s="34" t="s">
        <v>5</v>
      </c>
      <c r="I1" s="35"/>
    </row>
    <row r="2" spans="1:9">
      <c r="A2" s="6" t="s">
        <v>0</v>
      </c>
      <c r="B2" s="36" t="s">
        <v>1</v>
      </c>
      <c r="C2" s="37"/>
      <c r="D2" s="38" t="s">
        <v>2</v>
      </c>
      <c r="E2" s="39"/>
      <c r="F2" s="40" t="s">
        <v>3</v>
      </c>
      <c r="G2" s="41"/>
      <c r="H2" s="42" t="s">
        <v>4</v>
      </c>
      <c r="I2" s="43"/>
    </row>
    <row r="3" spans="1:9" ht="42.75">
      <c r="A3" s="7" t="s">
        <v>9</v>
      </c>
      <c r="B3" s="5" t="s">
        <v>17</v>
      </c>
      <c r="C3" s="4" t="s">
        <v>18</v>
      </c>
      <c r="D3" s="5" t="s">
        <v>19</v>
      </c>
      <c r="E3" s="4" t="s">
        <v>18</v>
      </c>
      <c r="F3" s="5" t="s">
        <v>19</v>
      </c>
      <c r="G3" s="4" t="s">
        <v>18</v>
      </c>
      <c r="H3" s="5" t="s">
        <v>19</v>
      </c>
      <c r="I3" s="4" t="s">
        <v>18</v>
      </c>
    </row>
    <row r="4" spans="1:9">
      <c r="A4" s="8" t="s">
        <v>10</v>
      </c>
      <c r="B4" s="2">
        <v>1</v>
      </c>
      <c r="C4" s="3">
        <v>1</v>
      </c>
      <c r="D4" s="2">
        <v>2</v>
      </c>
      <c r="E4" s="3">
        <v>0</v>
      </c>
      <c r="F4" s="2">
        <v>2</v>
      </c>
      <c r="G4" s="3">
        <v>0</v>
      </c>
      <c r="H4" s="2">
        <v>2</v>
      </c>
      <c r="I4" s="3">
        <v>0</v>
      </c>
    </row>
    <row r="5" spans="1:9">
      <c r="A5" s="8" t="s">
        <v>11</v>
      </c>
      <c r="B5" s="2">
        <v>1</v>
      </c>
      <c r="C5" s="3">
        <v>1</v>
      </c>
      <c r="D5" s="2">
        <v>2</v>
      </c>
      <c r="E5" s="3">
        <v>0.5</v>
      </c>
      <c r="F5" s="2">
        <v>1.5</v>
      </c>
      <c r="G5" s="3">
        <v>0</v>
      </c>
      <c r="H5" s="2">
        <v>2</v>
      </c>
      <c r="I5" s="3">
        <v>0</v>
      </c>
    </row>
    <row r="6" spans="1:9">
      <c r="A6" s="8" t="s">
        <v>12</v>
      </c>
      <c r="B6" s="2">
        <v>1.5</v>
      </c>
      <c r="C6" s="3">
        <v>0</v>
      </c>
      <c r="D6" s="2">
        <v>1</v>
      </c>
      <c r="E6" s="3">
        <v>0.5</v>
      </c>
      <c r="F6" s="2">
        <v>1.5</v>
      </c>
      <c r="G6" s="3">
        <v>1</v>
      </c>
      <c r="H6" s="2">
        <v>0.5</v>
      </c>
      <c r="I6" s="3">
        <v>0</v>
      </c>
    </row>
    <row r="7" spans="1:9">
      <c r="A7" s="8" t="s">
        <v>13</v>
      </c>
      <c r="B7" s="2">
        <v>1.5</v>
      </c>
      <c r="C7" s="3">
        <v>1</v>
      </c>
      <c r="D7" s="2">
        <v>0.5</v>
      </c>
      <c r="E7" s="3">
        <v>1</v>
      </c>
      <c r="F7" s="2">
        <v>0</v>
      </c>
      <c r="G7" s="3">
        <v>1</v>
      </c>
      <c r="H7" s="2">
        <v>1</v>
      </c>
      <c r="I7" s="3">
        <v>1</v>
      </c>
    </row>
    <row r="8" spans="1:9">
      <c r="A8" s="8" t="s">
        <v>26</v>
      </c>
      <c r="B8" s="2">
        <v>1</v>
      </c>
      <c r="C8" s="3">
        <v>0</v>
      </c>
      <c r="D8" s="2">
        <v>2</v>
      </c>
      <c r="E8" s="3">
        <v>1</v>
      </c>
      <c r="F8" s="2">
        <v>1.5</v>
      </c>
      <c r="G8" s="3">
        <v>1</v>
      </c>
      <c r="H8" s="2">
        <v>1</v>
      </c>
      <c r="I8" s="3">
        <v>0</v>
      </c>
    </row>
    <row r="9" spans="1:9">
      <c r="A9" s="8" t="s">
        <v>14</v>
      </c>
      <c r="B9" s="2">
        <f>SUM(B4:B8)</f>
        <v>6</v>
      </c>
      <c r="C9" s="3">
        <f t="shared" ref="C9:I9" si="0">SUM(C4:C8)</f>
        <v>3</v>
      </c>
      <c r="D9" s="2">
        <f t="shared" si="0"/>
        <v>7.5</v>
      </c>
      <c r="E9" s="3">
        <f t="shared" si="0"/>
        <v>3</v>
      </c>
      <c r="F9" s="2">
        <f t="shared" si="0"/>
        <v>6.5</v>
      </c>
      <c r="G9" s="3">
        <f t="shared" si="0"/>
        <v>3</v>
      </c>
      <c r="H9" s="2">
        <f t="shared" si="0"/>
        <v>6.5</v>
      </c>
      <c r="I9" s="3">
        <f t="shared" si="0"/>
        <v>1</v>
      </c>
    </row>
    <row r="10" spans="1:9">
      <c r="A10" s="8" t="s">
        <v>15</v>
      </c>
      <c r="B10" s="18">
        <f>SUM(B9:C9)</f>
        <v>9</v>
      </c>
      <c r="C10" s="19"/>
      <c r="D10" s="18">
        <f t="shared" ref="D10" si="1">SUM(D9:E9)</f>
        <v>10.5</v>
      </c>
      <c r="E10" s="19"/>
      <c r="F10" s="18">
        <f t="shared" ref="F10" si="2">SUM(F9:G9)</f>
        <v>9.5</v>
      </c>
      <c r="G10" s="19"/>
      <c r="H10" s="18">
        <f t="shared" ref="H10" si="3">SUM(H9:I9)</f>
        <v>7.5</v>
      </c>
      <c r="I10" s="19"/>
    </row>
    <row r="11" spans="1:9">
      <c r="A11" s="9" t="s">
        <v>16</v>
      </c>
      <c r="B11" s="20" t="s">
        <v>24</v>
      </c>
      <c r="C11" s="21"/>
      <c r="D11" s="22" t="s">
        <v>22</v>
      </c>
      <c r="E11" s="23"/>
      <c r="F11" s="24" t="s">
        <v>23</v>
      </c>
      <c r="G11" s="25"/>
      <c r="H11" s="26" t="s">
        <v>25</v>
      </c>
      <c r="I11" s="27"/>
    </row>
    <row r="14" spans="1:9">
      <c r="B14" t="s">
        <v>20</v>
      </c>
    </row>
    <row r="15" spans="1:9">
      <c r="B15" t="s">
        <v>21</v>
      </c>
    </row>
  </sheetData>
  <mergeCells count="16">
    <mergeCell ref="B1:C1"/>
    <mergeCell ref="D1:E1"/>
    <mergeCell ref="F1:G1"/>
    <mergeCell ref="H1:I1"/>
    <mergeCell ref="B2:C2"/>
    <mergeCell ref="D2:E2"/>
    <mergeCell ref="F2:G2"/>
    <mergeCell ref="H2:I2"/>
    <mergeCell ref="B10:C10"/>
    <mergeCell ref="D10:E10"/>
    <mergeCell ref="F10:G10"/>
    <mergeCell ref="H10:I10"/>
    <mergeCell ref="B11:C11"/>
    <mergeCell ref="D11:E11"/>
    <mergeCell ref="F11:G11"/>
    <mergeCell ref="H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zoomScale="120" zoomScaleNormal="120" workbookViewId="0">
      <selection activeCell="Q14" sqref="Q14"/>
    </sheetView>
  </sheetViews>
  <sheetFormatPr defaultRowHeight="14.25"/>
  <cols>
    <col min="1" max="1" width="6.5" bestFit="1" customWidth="1"/>
    <col min="2" max="2" width="6.125" bestFit="1" customWidth="1"/>
    <col min="3" max="3" width="3.875" bestFit="1" customWidth="1"/>
    <col min="4" max="16" width="4.875" bestFit="1" customWidth="1"/>
    <col min="17" max="19" width="7.875" bestFit="1" customWidth="1"/>
    <col min="20" max="20" width="11.375" bestFit="1" customWidth="1"/>
  </cols>
  <sheetData>
    <row r="1" spans="1:20">
      <c r="D1" s="45" t="s">
        <v>27</v>
      </c>
      <c r="E1" s="45"/>
      <c r="F1" s="45"/>
      <c r="G1" s="45"/>
      <c r="H1" s="45"/>
      <c r="I1" s="45"/>
      <c r="J1" s="46" t="s">
        <v>28</v>
      </c>
      <c r="K1" s="46"/>
      <c r="L1" s="46"/>
      <c r="M1" s="46"/>
      <c r="N1" s="46"/>
      <c r="O1" s="46"/>
      <c r="P1" s="14" t="s">
        <v>38</v>
      </c>
      <c r="Q1" s="15" t="s">
        <v>40</v>
      </c>
      <c r="R1" s="16" t="s">
        <v>41</v>
      </c>
      <c r="S1" s="16" t="s">
        <v>42</v>
      </c>
      <c r="T1" s="17" t="s">
        <v>39</v>
      </c>
    </row>
    <row r="2" spans="1:20">
      <c r="D2">
        <v>1</v>
      </c>
      <c r="E2">
        <v>2</v>
      </c>
      <c r="F2">
        <v>3</v>
      </c>
      <c r="G2">
        <v>4</v>
      </c>
      <c r="H2">
        <v>5</v>
      </c>
      <c r="I2" s="10" t="s">
        <v>36</v>
      </c>
      <c r="J2">
        <v>1</v>
      </c>
      <c r="K2">
        <v>2</v>
      </c>
      <c r="L2">
        <v>3</v>
      </c>
      <c r="M2">
        <v>4</v>
      </c>
      <c r="N2">
        <v>5</v>
      </c>
      <c r="O2" s="10" t="s">
        <v>37</v>
      </c>
      <c r="P2" t="s">
        <v>37</v>
      </c>
      <c r="Q2" s="10" t="s">
        <v>37</v>
      </c>
      <c r="R2" t="s">
        <v>37</v>
      </c>
      <c r="S2" t="s">
        <v>37</v>
      </c>
      <c r="T2" s="10" t="s">
        <v>37</v>
      </c>
    </row>
    <row r="3" spans="1:20">
      <c r="A3" s="44" t="s">
        <v>35</v>
      </c>
      <c r="B3" s="44"/>
      <c r="C3" s="12" t="s">
        <v>29</v>
      </c>
      <c r="D3">
        <v>1202</v>
      </c>
      <c r="E3">
        <v>1127</v>
      </c>
      <c r="F3">
        <v>1108</v>
      </c>
      <c r="G3">
        <v>1119</v>
      </c>
      <c r="H3">
        <v>1261</v>
      </c>
      <c r="I3" s="11">
        <f>AVERAGE(D3:H3)</f>
        <v>1163.4000000000001</v>
      </c>
      <c r="J3">
        <v>1230</v>
      </c>
      <c r="K3">
        <v>1156</v>
      </c>
      <c r="L3">
        <v>1175</v>
      </c>
      <c r="M3">
        <v>1091</v>
      </c>
      <c r="N3">
        <v>1171</v>
      </c>
      <c r="O3" s="11">
        <f>AVERAGE(J3:N3)</f>
        <v>1164.5999999999999</v>
      </c>
      <c r="P3">
        <v>1301</v>
      </c>
      <c r="Q3">
        <v>1882</v>
      </c>
      <c r="R3">
        <v>1677</v>
      </c>
      <c r="S3">
        <v>1380</v>
      </c>
      <c r="T3">
        <v>1943</v>
      </c>
    </row>
    <row r="4" spans="1:20">
      <c r="A4" s="44"/>
      <c r="B4" s="44"/>
      <c r="C4" s="13" t="s">
        <v>30</v>
      </c>
      <c r="D4">
        <v>1283</v>
      </c>
      <c r="E4">
        <v>1124</v>
      </c>
      <c r="F4">
        <v>1093</v>
      </c>
      <c r="G4">
        <v>1188</v>
      </c>
      <c r="H4">
        <v>1454</v>
      </c>
      <c r="I4" s="11">
        <f t="shared" ref="I4:I8" si="0">AVERAGE(D4:H4)</f>
        <v>1228.4000000000001</v>
      </c>
      <c r="J4">
        <v>1427</v>
      </c>
      <c r="K4">
        <v>1330</v>
      </c>
      <c r="L4">
        <v>1357</v>
      </c>
      <c r="M4">
        <v>1229</v>
      </c>
      <c r="N4">
        <v>1321</v>
      </c>
      <c r="O4" s="11">
        <f t="shared" ref="O4:O8" si="1">AVERAGE(J4:N4)</f>
        <v>1332.8</v>
      </c>
      <c r="P4">
        <v>1673</v>
      </c>
      <c r="Q4">
        <v>1850</v>
      </c>
      <c r="R4">
        <v>1959</v>
      </c>
      <c r="S4">
        <v>1529</v>
      </c>
      <c r="T4">
        <v>1946</v>
      </c>
    </row>
    <row r="5" spans="1:20">
      <c r="A5" s="44"/>
      <c r="B5" s="44"/>
      <c r="C5" s="12" t="s">
        <v>31</v>
      </c>
      <c r="D5">
        <v>1212</v>
      </c>
      <c r="E5">
        <v>1039</v>
      </c>
      <c r="F5">
        <v>1063</v>
      </c>
      <c r="G5">
        <v>1076</v>
      </c>
      <c r="H5">
        <v>1245</v>
      </c>
      <c r="I5" s="11">
        <f t="shared" si="0"/>
        <v>1127</v>
      </c>
      <c r="J5">
        <v>1236</v>
      </c>
      <c r="K5">
        <v>1190</v>
      </c>
      <c r="L5">
        <v>1160</v>
      </c>
      <c r="M5">
        <v>1146</v>
      </c>
      <c r="N5">
        <v>1161</v>
      </c>
      <c r="O5" s="11">
        <f t="shared" si="1"/>
        <v>1178.5999999999999</v>
      </c>
      <c r="P5">
        <v>1335</v>
      </c>
      <c r="Q5">
        <v>1820</v>
      </c>
      <c r="R5">
        <v>2274</v>
      </c>
      <c r="S5">
        <v>1620</v>
      </c>
      <c r="T5">
        <v>2138</v>
      </c>
    </row>
    <row r="6" spans="1:20">
      <c r="A6" s="44"/>
      <c r="B6" s="44"/>
      <c r="C6" s="13" t="s">
        <v>32</v>
      </c>
      <c r="D6">
        <v>1161</v>
      </c>
      <c r="E6">
        <v>1103</v>
      </c>
      <c r="F6">
        <v>1128</v>
      </c>
      <c r="G6">
        <v>1080</v>
      </c>
      <c r="H6">
        <v>1203</v>
      </c>
      <c r="I6" s="11">
        <f t="shared" si="0"/>
        <v>1135</v>
      </c>
      <c r="J6">
        <v>4412</v>
      </c>
      <c r="K6">
        <v>3879</v>
      </c>
      <c r="L6">
        <v>4907</v>
      </c>
      <c r="M6">
        <v>2532</v>
      </c>
      <c r="N6">
        <v>3956</v>
      </c>
      <c r="O6" s="11">
        <f t="shared" si="1"/>
        <v>3937.2</v>
      </c>
      <c r="P6">
        <v>5492</v>
      </c>
      <c r="Q6">
        <v>2223</v>
      </c>
      <c r="R6">
        <v>3172</v>
      </c>
      <c r="S6">
        <v>2476</v>
      </c>
      <c r="T6">
        <v>2984</v>
      </c>
    </row>
    <row r="7" spans="1:20">
      <c r="A7" s="44"/>
      <c r="B7" s="44"/>
      <c r="C7" s="12" t="s">
        <v>33</v>
      </c>
      <c r="D7">
        <v>1134</v>
      </c>
      <c r="E7">
        <v>1094</v>
      </c>
      <c r="F7">
        <v>1157</v>
      </c>
      <c r="G7">
        <v>1092</v>
      </c>
      <c r="H7">
        <v>1119</v>
      </c>
      <c r="I7" s="11">
        <f t="shared" si="0"/>
        <v>1119.2</v>
      </c>
      <c r="J7">
        <v>2609</v>
      </c>
      <c r="K7">
        <v>2365</v>
      </c>
      <c r="L7">
        <v>2436</v>
      </c>
      <c r="M7">
        <v>2175</v>
      </c>
      <c r="N7">
        <v>2204</v>
      </c>
      <c r="O7" s="11">
        <f t="shared" si="1"/>
        <v>2357.8000000000002</v>
      </c>
      <c r="P7">
        <v>3271</v>
      </c>
      <c r="Q7">
        <v>2234</v>
      </c>
      <c r="R7">
        <v>4310</v>
      </c>
      <c r="S7">
        <v>3218</v>
      </c>
      <c r="T7">
        <v>3202</v>
      </c>
    </row>
    <row r="8" spans="1:20">
      <c r="A8" s="44"/>
      <c r="B8" s="44"/>
      <c r="C8" s="13" t="s">
        <v>34</v>
      </c>
      <c r="D8">
        <v>1089</v>
      </c>
      <c r="E8">
        <v>1051</v>
      </c>
      <c r="F8">
        <v>1063</v>
      </c>
      <c r="G8">
        <v>1060</v>
      </c>
      <c r="H8">
        <v>1066</v>
      </c>
      <c r="I8" s="11">
        <f t="shared" si="0"/>
        <v>1065.8</v>
      </c>
      <c r="J8">
        <v>1741</v>
      </c>
      <c r="K8">
        <v>1595</v>
      </c>
      <c r="L8">
        <v>1595</v>
      </c>
      <c r="M8">
        <v>1512</v>
      </c>
      <c r="N8">
        <v>1560</v>
      </c>
      <c r="O8" s="11">
        <f t="shared" si="1"/>
        <v>1600.6</v>
      </c>
      <c r="P8">
        <v>2046</v>
      </c>
      <c r="Q8">
        <v>2002</v>
      </c>
      <c r="R8">
        <v>3457</v>
      </c>
      <c r="S8">
        <v>2712</v>
      </c>
      <c r="T8">
        <v>2805</v>
      </c>
    </row>
  </sheetData>
  <mergeCells count="3">
    <mergeCell ref="A3:B8"/>
    <mergeCell ref="D1:I1"/>
    <mergeCell ref="J1:O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="120" zoomScaleNormal="120" workbookViewId="0">
      <selection activeCell="D14" sqref="D14"/>
    </sheetView>
  </sheetViews>
  <sheetFormatPr defaultRowHeight="14.25"/>
  <cols>
    <col min="1" max="1" width="13.375" bestFit="1" customWidth="1"/>
    <col min="2" max="2" width="4.25" bestFit="1" customWidth="1"/>
    <col min="3" max="3" width="5.5" bestFit="1" customWidth="1"/>
    <col min="4" max="5" width="5.125" bestFit="1" customWidth="1"/>
    <col min="6" max="6" width="8.375" bestFit="1" customWidth="1"/>
    <col min="7" max="8" width="8.625" bestFit="1" customWidth="1"/>
    <col min="9" max="9" width="10.125" bestFit="1" customWidth="1"/>
  </cols>
  <sheetData>
    <row r="1" spans="1:9">
      <c r="A1" s="1"/>
      <c r="B1" s="47"/>
      <c r="C1" s="48" t="s">
        <v>27</v>
      </c>
      <c r="D1" s="49" t="s">
        <v>28</v>
      </c>
      <c r="E1" s="50" t="s">
        <v>38</v>
      </c>
      <c r="F1" s="51" t="s">
        <v>40</v>
      </c>
      <c r="G1" s="52" t="s">
        <v>41</v>
      </c>
      <c r="H1" s="52" t="s">
        <v>42</v>
      </c>
      <c r="I1" s="53" t="s">
        <v>43</v>
      </c>
    </row>
    <row r="2" spans="1:9">
      <c r="A2" s="54" t="s">
        <v>35</v>
      </c>
      <c r="B2" s="55" t="s">
        <v>29</v>
      </c>
      <c r="C2" s="56">
        <v>1163.4000000000001</v>
      </c>
      <c r="D2" s="56">
        <v>1164.5999999999999</v>
      </c>
      <c r="E2" s="57">
        <v>1301</v>
      </c>
      <c r="F2" s="57">
        <v>1882</v>
      </c>
      <c r="G2" s="57">
        <v>1677</v>
      </c>
      <c r="H2" s="57">
        <v>1380</v>
      </c>
      <c r="I2" s="3">
        <v>1943</v>
      </c>
    </row>
    <row r="3" spans="1:9">
      <c r="A3" s="54"/>
      <c r="B3" s="58" t="s">
        <v>30</v>
      </c>
      <c r="C3" s="56">
        <v>1228.4000000000001</v>
      </c>
      <c r="D3" s="56">
        <v>1332.8</v>
      </c>
      <c r="E3" s="57">
        <v>1673</v>
      </c>
      <c r="F3" s="57">
        <v>1850</v>
      </c>
      <c r="G3" s="57">
        <v>1959</v>
      </c>
      <c r="H3" s="57">
        <v>1529</v>
      </c>
      <c r="I3" s="3">
        <v>1946</v>
      </c>
    </row>
    <row r="4" spans="1:9">
      <c r="A4" s="54"/>
      <c r="B4" s="55" t="s">
        <v>31</v>
      </c>
      <c r="C4" s="56">
        <v>1127</v>
      </c>
      <c r="D4" s="56">
        <v>1178.5999999999999</v>
      </c>
      <c r="E4" s="57">
        <v>1335</v>
      </c>
      <c r="F4" s="57">
        <v>1820</v>
      </c>
      <c r="G4" s="57">
        <v>2274</v>
      </c>
      <c r="H4" s="57">
        <v>1620</v>
      </c>
      <c r="I4" s="3">
        <v>2138</v>
      </c>
    </row>
    <row r="5" spans="1:9">
      <c r="A5" s="54"/>
      <c r="B5" s="58" t="s">
        <v>32</v>
      </c>
      <c r="C5" s="56">
        <v>1135</v>
      </c>
      <c r="D5" s="56">
        <v>3937.2</v>
      </c>
      <c r="E5" s="57">
        <v>5492</v>
      </c>
      <c r="F5" s="57">
        <v>2223</v>
      </c>
      <c r="G5" s="57">
        <v>3172</v>
      </c>
      <c r="H5" s="57">
        <v>2476</v>
      </c>
      <c r="I5" s="3">
        <v>2984</v>
      </c>
    </row>
    <row r="6" spans="1:9">
      <c r="A6" s="54"/>
      <c r="B6" s="55" t="s">
        <v>33</v>
      </c>
      <c r="C6" s="56">
        <v>1119.2</v>
      </c>
      <c r="D6" s="56">
        <v>2357.8000000000002</v>
      </c>
      <c r="E6" s="57">
        <v>3271</v>
      </c>
      <c r="F6" s="57">
        <v>2234</v>
      </c>
      <c r="G6" s="57">
        <v>4310</v>
      </c>
      <c r="H6" s="57">
        <v>3218</v>
      </c>
      <c r="I6" s="3">
        <v>3202</v>
      </c>
    </row>
    <row r="7" spans="1:9">
      <c r="A7" s="59"/>
      <c r="B7" s="60" t="s">
        <v>34</v>
      </c>
      <c r="C7" s="61">
        <v>1065.8</v>
      </c>
      <c r="D7" s="61">
        <v>1600.6</v>
      </c>
      <c r="E7" s="62">
        <v>2046</v>
      </c>
      <c r="F7" s="62">
        <v>2002</v>
      </c>
      <c r="G7" s="62">
        <v>3457</v>
      </c>
      <c r="H7" s="62">
        <v>2712</v>
      </c>
      <c r="I7" s="63">
        <v>2805</v>
      </c>
    </row>
  </sheetData>
  <mergeCells count="1">
    <mergeCell ref="A2:A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Z_1</vt:lpstr>
      <vt:lpstr>Z_3-5_Dane</vt:lpstr>
      <vt:lpstr>Z_3-5_Wykres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Kuśnierz</dc:creator>
  <cp:lastModifiedBy>Michał Kuśnierz</cp:lastModifiedBy>
  <dcterms:created xsi:type="dcterms:W3CDTF">2025-11-01T20:46:02Z</dcterms:created>
  <dcterms:modified xsi:type="dcterms:W3CDTF">2025-11-09T21:50:16Z</dcterms:modified>
</cp:coreProperties>
</file>