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PTiF_Projekt_1\"/>
    </mc:Choice>
  </mc:AlternateContent>
  <xr:revisionPtr revIDLastSave="0" documentId="13_ncr:1_{06E24659-FE0D-4541-A459-620770730EAA}" xr6:coauthVersionLast="47" xr6:coauthVersionMax="47" xr10:uidLastSave="{00000000-0000-0000-0000-000000000000}"/>
  <bookViews>
    <workbookView xWindow="-120" yWindow="-120" windowWidth="29040" windowHeight="15720" xr2:uid="{29EA295B-5B34-4808-B002-85D8DACCE81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F5" i="1"/>
  <c r="F4" i="1"/>
  <c r="E5" i="1"/>
  <c r="C4" i="1"/>
  <c r="E4" i="1"/>
</calcChain>
</file>

<file path=xl/sharedStrings.xml><?xml version="1.0" encoding="utf-8"?>
<sst xmlns="http://schemas.openxmlformats.org/spreadsheetml/2006/main" count="18" uniqueCount="16">
  <si>
    <t>Ortofotomapa</t>
  </si>
  <si>
    <t>Piksel Terenowy</t>
  </si>
  <si>
    <t>Jednostki</t>
  </si>
  <si>
    <t>Pole powierzchni</t>
  </si>
  <si>
    <t>obszarów nieprzepuszczalnych</t>
  </si>
  <si>
    <t>obszarów przepuszczalnych</t>
  </si>
  <si>
    <t>Ortofotomapa 2003</t>
  </si>
  <si>
    <t>Ortofotomapa 2013</t>
  </si>
  <si>
    <t>25 cm</t>
  </si>
  <si>
    <t>10 cm</t>
  </si>
  <si>
    <t>opracowywanego obszaru</t>
  </si>
  <si>
    <r>
      <t>[m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]</t>
    </r>
  </si>
  <si>
    <t>Ortofotomapa geoportal</t>
  </si>
  <si>
    <t>[%]</t>
  </si>
  <si>
    <t>66 cm</t>
  </si>
  <si>
    <t>Wskaźnik nieprzepuszczalności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</si>
</sst>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379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2" xfId="0" applyFill="1" applyBorder="1" applyAlignment="1">
      <alignment horizont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93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105832</xdr:colOff>
      <xdr:row>0</xdr:row>
      <xdr:rowOff>0</xdr:rowOff>
    </xdr:from>
    <xdr:to>
      <xdr:col>10</xdr:col>
      <xdr:colOff>518583</xdr:colOff>
      <xdr:row>33</xdr:row>
      <xdr:rowOff>116298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E534A71-552B-01BE-1992-FFDFBEFD2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49" y="0"/>
          <a:ext cx="2868084" cy="668854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412750</xdr:colOff>
      <xdr:row>33</xdr:row>
      <xdr:rowOff>130935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D38E8925-7411-F53B-EE07-3BE0BB8D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083" y="0"/>
          <a:ext cx="2868084" cy="6703185"/>
        </a:xfrm>
        <a:prstGeom prst="rect">
          <a:avLst/>
        </a:prstGeom>
      </xdr:spPr>
    </xdr:pic>
    <xdr:clientData/>
  </xdr:twoCellAnchor>
  <xdr:twoCellAnchor editAs="oneCell">
    <xdr:from>
      <xdr:col>15</xdr:col>
      <xdr:colOff>613832</xdr:colOff>
      <xdr:row>0</xdr:row>
      <xdr:rowOff>0</xdr:rowOff>
    </xdr:from>
    <xdr:to>
      <xdr:col>20</xdr:col>
      <xdr:colOff>423333</xdr:colOff>
      <xdr:row>33</xdr:row>
      <xdr:rowOff>108016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6F1F57AC-9429-1848-7949-EBAB8CA1A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7332" y="0"/>
          <a:ext cx="2878667" cy="6680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5A32-C449-4A9C-B60C-0D8D36FEFA5F}">
  <dimension ref="A1:F6"/>
  <sheetViews>
    <sheetView tabSelected="1" zoomScale="90" zoomScaleNormal="90" workbookViewId="0">
      <selection activeCell="C22" sqref="C22"/>
    </sheetView>
  </sheetViews>
  <sheetFormatPr defaultRowHeight="15" x14ac:dyDescent="0.25"/>
  <cols>
    <col min="1" max="1" width="22.7109375" bestFit="1" customWidth="1"/>
    <col min="2" max="2" width="8.85546875" customWidth="1"/>
    <col min="3" max="3" width="15.85546875" customWidth="1"/>
    <col min="4" max="4" width="19.5703125" bestFit="1" customWidth="1"/>
    <col min="5" max="5" width="16.7109375" bestFit="1" customWidth="1"/>
    <col min="6" max="6" width="19.5703125" customWidth="1"/>
  </cols>
  <sheetData>
    <row r="1" spans="1:6" x14ac:dyDescent="0.25">
      <c r="A1" s="11" t="s">
        <v>0</v>
      </c>
      <c r="B1" s="19" t="s">
        <v>1</v>
      </c>
      <c r="C1" s="15" t="s">
        <v>3</v>
      </c>
      <c r="D1" s="15"/>
      <c r="E1" s="15"/>
      <c r="F1" s="16" t="s">
        <v>15</v>
      </c>
    </row>
    <row r="2" spans="1:6" ht="36" customHeight="1" x14ac:dyDescent="0.25">
      <c r="A2" s="12"/>
      <c r="B2" s="20"/>
      <c r="C2" s="17" t="s">
        <v>10</v>
      </c>
      <c r="D2" s="17" t="s">
        <v>4</v>
      </c>
      <c r="E2" s="17" t="s">
        <v>5</v>
      </c>
      <c r="F2" s="18"/>
    </row>
    <row r="3" spans="1:6" ht="16.5" x14ac:dyDescent="0.25">
      <c r="A3" s="12"/>
      <c r="B3" s="9" t="s">
        <v>2</v>
      </c>
      <c r="C3" s="9" t="s">
        <v>11</v>
      </c>
      <c r="D3" s="9" t="s">
        <v>11</v>
      </c>
      <c r="E3" s="9" t="s">
        <v>11</v>
      </c>
      <c r="F3" s="10" t="s">
        <v>13</v>
      </c>
    </row>
    <row r="4" spans="1:6" x14ac:dyDescent="0.25">
      <c r="A4" s="6" t="s">
        <v>6</v>
      </c>
      <c r="B4" s="1" t="s">
        <v>8</v>
      </c>
      <c r="C4" s="13">
        <f>200*200</f>
        <v>40000</v>
      </c>
      <c r="D4" s="1">
        <v>11244.9</v>
      </c>
      <c r="E4" s="1">
        <f>C4-D4</f>
        <v>28755.1</v>
      </c>
      <c r="F4" s="2">
        <f>D4/C4*100</f>
        <v>28.11225</v>
      </c>
    </row>
    <row r="5" spans="1:6" x14ac:dyDescent="0.25">
      <c r="A5" s="7" t="s">
        <v>7</v>
      </c>
      <c r="B5" s="1" t="s">
        <v>9</v>
      </c>
      <c r="C5" s="13"/>
      <c r="D5" s="1">
        <v>22307.7</v>
      </c>
      <c r="E5" s="1">
        <f>C4-D5</f>
        <v>17692.3</v>
      </c>
      <c r="F5" s="2">
        <f>D5/C4*100</f>
        <v>55.769250000000007</v>
      </c>
    </row>
    <row r="6" spans="1:6" x14ac:dyDescent="0.25">
      <c r="A6" s="8" t="s">
        <v>12</v>
      </c>
      <c r="B6" s="5" t="s">
        <v>14</v>
      </c>
      <c r="C6" s="14"/>
      <c r="D6" s="3">
        <v>25614.3</v>
      </c>
      <c r="E6" s="3">
        <f>C4-D6</f>
        <v>14385.7</v>
      </c>
      <c r="F6" s="4">
        <f>D6/C4*100</f>
        <v>64.035750000000007</v>
      </c>
    </row>
  </sheetData>
  <mergeCells count="5">
    <mergeCell ref="A1:A3"/>
    <mergeCell ref="B1:B2"/>
    <mergeCell ref="C1:E1"/>
    <mergeCell ref="F1:F2"/>
    <mergeCell ref="C4:C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Kuśnierz</dc:creator>
  <cp:lastModifiedBy>Michał Kuśnierz</cp:lastModifiedBy>
  <dcterms:created xsi:type="dcterms:W3CDTF">2025-11-14T10:57:45Z</dcterms:created>
  <dcterms:modified xsi:type="dcterms:W3CDTF">2025-11-14T12:09:40Z</dcterms:modified>
</cp:coreProperties>
</file>